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SEM in SmartPLS\"/>
    </mc:Choice>
  </mc:AlternateContent>
  <xr:revisionPtr revIDLastSave="0" documentId="13_ncr:1_{CAB700F0-E3BD-46CE-B8B7-080F657CDCE6}" xr6:coauthVersionLast="47" xr6:coauthVersionMax="47" xr10:uidLastSave="{00000000-0000-0000-0000-000000000000}"/>
  <bookViews>
    <workbookView xWindow="-110" yWindow="-110" windowWidth="19420" windowHeight="10300" xr2:uid="{06A6D30D-25ED-4D49-95E1-13119519E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B8" i="1"/>
  <c r="H3" i="1"/>
  <c r="B7" i="1" s="1"/>
  <c r="H4" i="1"/>
  <c r="H2" i="1"/>
  <c r="G2" i="1"/>
  <c r="G4" i="1" l="1"/>
  <c r="G3" i="1"/>
</calcChain>
</file>

<file path=xl/sharedStrings.xml><?xml version="1.0" encoding="utf-8"?>
<sst xmlns="http://schemas.openxmlformats.org/spreadsheetml/2006/main" count="14" uniqueCount="14">
  <si>
    <t>Significance</t>
  </si>
  <si>
    <t>Standar Error</t>
  </si>
  <si>
    <t>t hitung</t>
  </si>
  <si>
    <t>Kesimpulan</t>
  </si>
  <si>
    <t>t tabel</t>
  </si>
  <si>
    <t>Original sample (O)</t>
  </si>
  <si>
    <t>Sample mean (M)</t>
  </si>
  <si>
    <t>Standard deviation (STDEV)</t>
  </si>
  <si>
    <t>T statistics (|O/STDEV|)</t>
  </si>
  <si>
    <t>P values</t>
  </si>
  <si>
    <t>Kepuasan Pelanggan -&gt; Niat Pembelian Ulang</t>
  </si>
  <si>
    <t>Pengalaman Pelanggan -&gt; Kepuasan Pelanggan</t>
  </si>
  <si>
    <t>Pengalaman Pelanggan -&gt; Niat Pembelian Ulang</t>
  </si>
  <si>
    <t>PP-&gt; KP -&gt; NPU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</si>
</sst>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6"/>
      <name val="Arial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4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555555"/>
        <bgColor indexed="64"/>
      </patternFill>
    </fill>
    <fill>
      <patternFill patternType="solid">
        <fgColor rgb="FF90EE9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AC56-CC49-45A3-80DE-807387A4F7D8}">
  <dimension ref="A1:H8"/>
  <sheetViews>
    <sheetView tabSelected="1" workbookViewId="0">
      <selection activeCell="A7" sqref="A7"/>
    </sheetView>
  </sheetViews>
  <sheetFormatPr defaultRowHeight="14.5" x14ac:dyDescent="0.35"/>
  <cols>
    <col min="1" max="1" width="54.17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ht="15" thickBot="1" x14ac:dyDescent="0.4">
      <c r="B1" s="5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1" t="s">
        <v>0</v>
      </c>
      <c r="H1" s="1" t="s">
        <v>1</v>
      </c>
    </row>
    <row r="2" spans="1:8" ht="15" thickBot="1" x14ac:dyDescent="0.4">
      <c r="A2" s="7" t="s">
        <v>10</v>
      </c>
      <c r="B2" s="8">
        <v>0.51300000000000001</v>
      </c>
      <c r="C2" s="8">
        <v>0.50600000000000001</v>
      </c>
      <c r="D2" s="8">
        <v>0.13900000000000001</v>
      </c>
      <c r="E2" s="8">
        <v>3.6829999999999998</v>
      </c>
      <c r="F2" s="9">
        <v>0</v>
      </c>
      <c r="G2" s="2" t="str">
        <f>IF(F2&lt;0.01,"***",IF(F2&lt;0.05,"**",IF(F2&lt;0.1,"*","Not Significant")))</f>
        <v>***</v>
      </c>
      <c r="H2" s="3">
        <f>D2/SQRT(125)</f>
        <v>1.2432537954898831E-2</v>
      </c>
    </row>
    <row r="3" spans="1:8" ht="15" thickBot="1" x14ac:dyDescent="0.4">
      <c r="A3" s="10" t="s">
        <v>11</v>
      </c>
      <c r="B3" s="11">
        <v>0.91300000000000003</v>
      </c>
      <c r="C3" s="11">
        <v>0.91</v>
      </c>
      <c r="D3" s="11">
        <v>2.8000000000000001E-2</v>
      </c>
      <c r="E3" s="11">
        <v>32.970999999999997</v>
      </c>
      <c r="F3" s="12">
        <v>0</v>
      </c>
      <c r="G3" s="2" t="str">
        <f t="shared" ref="G3:G4" si="0">IF(F3&lt;0.01,"***",IF(F3&lt;0.05,"**",IF(F3&lt;0.1,"*","Not Significant")))</f>
        <v>***</v>
      </c>
      <c r="H3" s="3">
        <f t="shared" ref="H3:H4" si="1">D3/SQRT(125)</f>
        <v>2.5043961347997645E-3</v>
      </c>
    </row>
    <row r="4" spans="1:8" ht="15" thickBot="1" x14ac:dyDescent="0.4">
      <c r="A4" s="10" t="s">
        <v>12</v>
      </c>
      <c r="B4" s="8">
        <v>0.42899999999999999</v>
      </c>
      <c r="C4" s="8">
        <v>0.437</v>
      </c>
      <c r="D4" s="8">
        <v>0.13700000000000001</v>
      </c>
      <c r="E4" s="8">
        <v>3.1339999999999999</v>
      </c>
      <c r="F4" s="9">
        <v>2E-3</v>
      </c>
      <c r="G4" s="2" t="str">
        <f t="shared" si="0"/>
        <v>***</v>
      </c>
      <c r="H4" s="3">
        <f t="shared" si="1"/>
        <v>1.2253652516698847E-2</v>
      </c>
    </row>
    <row r="6" spans="1:8" x14ac:dyDescent="0.35">
      <c r="A6" s="4" t="s">
        <v>13</v>
      </c>
    </row>
    <row r="7" spans="1:8" x14ac:dyDescent="0.35">
      <c r="A7" s="4" t="s">
        <v>2</v>
      </c>
      <c r="B7">
        <f>(B3*B2)/(SQRT(((B2^2)*(H3^2))+((B3^2)*(H2^2))))</f>
        <v>41.000899826467716</v>
      </c>
      <c r="C7" t="s">
        <v>3</v>
      </c>
      <c r="D7" t="str">
        <f>IF(ABS(B7)&lt;B8,"Gagal Intervernsi","Sukses Intervensi")</f>
        <v>Sukses Intervensi</v>
      </c>
    </row>
    <row r="8" spans="1:8" x14ac:dyDescent="0.35">
      <c r="A8" t="s">
        <v>4</v>
      </c>
      <c r="B8">
        <f>TINV(0.05,(125-3))</f>
        <v>1.9795998784866402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2024-08-13T04:45:29Z</dcterms:created>
  <dcterms:modified xsi:type="dcterms:W3CDTF">2025-07-13T08:50:02Z</dcterms:modified>
</cp:coreProperties>
</file>